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ducation\KiCad_project\Remote_fly_ctrl\fabric_file\"/>
    </mc:Choice>
  </mc:AlternateContent>
  <xr:revisionPtr revIDLastSave="0" documentId="13_ncr:1_{96176088-3397-4788-961B-93A4004A131F}" xr6:coauthVersionLast="47" xr6:coauthVersionMax="47" xr10:uidLastSave="{00000000-0000-0000-0000-000000000000}"/>
  <bookViews>
    <workbookView minimized="1" xWindow="6615" yWindow="3435" windowWidth="28800" windowHeight="15345" xr2:uid="{00000000-000D-0000-FFFF-FFFF00000000}"/>
  </bookViews>
  <sheets>
    <sheet name="Magister_work_v1" sheetId="2" r:id="rId1"/>
    <sheet name="Лист1" sheetId="1" r:id="rId2"/>
  </sheets>
  <definedNames>
    <definedName name="ExternalData_1" localSheetId="0" hidden="1">Magister_work_v1!$A$1:$H$38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63717-9EA0-483E-A711-E5BB4B418182}" keepAlive="1" name="Запрос — Magister_work_v1" description="Соединение с запросом &quot;Magister_work_v1&quot; в книге." type="5" refreshedVersion="8" background="1" saveData="1">
    <dbPr connection="Provider=Microsoft.Mashup.OleDb.1;Data Source=$Workbook$;Location=Magister_work_v1;Extended Properties=&quot;&quot;" command="SELECT * FROM [Magister_work_v1]"/>
  </connection>
</connections>
</file>

<file path=xl/sharedStrings.xml><?xml version="1.0" encoding="utf-8"?>
<sst xmlns="http://schemas.openxmlformats.org/spreadsheetml/2006/main" count="260" uniqueCount="117">
  <si>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</si>
  <si>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</si>
  <si>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</si>
  <si>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</si>
  <si>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</si>
  <si>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</si>
  <si>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</si>
  <si>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</si>
  <si>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</si>
  <si>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100u</t>
  </si>
  <si>
    <t/>
  </si>
  <si>
    <t>Capacitor_SMD:C_Elec_6.3x7.7</t>
  </si>
  <si>
    <t>C2,C3,C4,C5,C6,C7,C8,C9,C10,C11,C12,C14,C21,C22,C23,C24,C25,C26,C27,C28,C29,C30,C31,C32,C33,C34,C35,C36,C37,C38,C39,C40,C41,C42,C43,C44,C45,C46,C47,C48</t>
  </si>
  <si>
    <t>0.1u</t>
  </si>
  <si>
    <t>Capacitor_SMD:C_0805_2012Metric_Pad1.18x1.45mm_HandSolder</t>
  </si>
  <si>
    <t>C15,C16,C18,C20</t>
  </si>
  <si>
    <t>15p</t>
  </si>
  <si>
    <t>C17,C19</t>
  </si>
  <si>
    <t>2.2u</t>
  </si>
  <si>
    <t>D1,D5</t>
  </si>
  <si>
    <t>SS32</t>
  </si>
  <si>
    <t>Diode_SMD:D_SMA</t>
  </si>
  <si>
    <t>https://www.vishay.com/docs/88751/ss32.pdf</t>
  </si>
  <si>
    <t>D2,D4,D6,D7</t>
  </si>
  <si>
    <t>SMAJ5.0CA</t>
  </si>
  <si>
    <t>https://www.littelfuse.com/media?resourcetype=datasheets&amp;itemid=75e32973-b177-4ee3-a0ff-cedaf1abdb93&amp;filename=smaj-datasheet</t>
  </si>
  <si>
    <t>D3</t>
  </si>
  <si>
    <t>LED</t>
  </si>
  <si>
    <t>LED_THT:LED_D3.0mm_Clear</t>
  </si>
  <si>
    <t>D9,D10</t>
  </si>
  <si>
    <t>LED_SMD:LED_0805_2012Metric_Pad1.15x1.40mm_HandSolder</t>
  </si>
  <si>
    <t>D11,D12,D13,D14,D15,D16,D17,D18,D19,D20</t>
  </si>
  <si>
    <t>LED_THT:LED_D3.0mm</t>
  </si>
  <si>
    <t>DD1</t>
  </si>
  <si>
    <t>BMP280</t>
  </si>
  <si>
    <t>Package_LGA:Bosch_LGA-8_2x2.5mm_P0.65mm_ClockwisePinNumbering</t>
  </si>
  <si>
    <t>https://ae-bst.resource.bosch.com/media/_tech/media/datasheets/BST-BMP280-DS001.pdf</t>
  </si>
  <si>
    <t>F1,F2</t>
  </si>
  <si>
    <t>MF-MSMF110-2</t>
  </si>
  <si>
    <t>Fuse:Fuse_1812_4532Metric_Pad1.30x3.40mm_HandSolder</t>
  </si>
  <si>
    <t>J1</t>
  </si>
  <si>
    <t>USB_B_Mini</t>
  </si>
  <si>
    <t>Connector_USB:USB_Mini-B_Lumberg_2486_01_Horizontal</t>
  </si>
  <si>
    <t>J2</t>
  </si>
  <si>
    <t>Conn_01x03_Pin</t>
  </si>
  <si>
    <t>Connector_JST:JST_NV_B03P-NV_1x03_P5.00mm_Vertical</t>
  </si>
  <si>
    <t>J3</t>
  </si>
  <si>
    <t>Connector_PinHeader_2.54mm:PinHeader_1x03_P2.54mm_Vertical</t>
  </si>
  <si>
    <t>J4</t>
  </si>
  <si>
    <t>Conn_01x02_Pin</t>
  </si>
  <si>
    <t>Connector_PinHeader_2.54mm:PinHeader_1x02_P2.54mm_Vertical</t>
  </si>
  <si>
    <t>J6,J8</t>
  </si>
  <si>
    <t>Conn_01x04_Pin</t>
  </si>
  <si>
    <t>Connector_PinSocket_2.54mm:PinSocket_1x04_P2.54mm_Vertical</t>
  </si>
  <si>
    <t>J7</t>
  </si>
  <si>
    <t>Conn_01x06_Pin</t>
  </si>
  <si>
    <t>Connector_Hirose:Hirose_DF13-06P-1.25DSA_1x06_P1.25mm_Vertical</t>
  </si>
  <si>
    <t>J9</t>
  </si>
  <si>
    <t>Connector_Hirose:Hirose_DF13-02P-1.25DSA_1x02_P1.25mm_Vertical</t>
  </si>
  <si>
    <t>Q1</t>
  </si>
  <si>
    <t>AO3400A</t>
  </si>
  <si>
    <t>Package_TO_SOT_SMD:SOT-23</t>
  </si>
  <si>
    <t>http://www.aosmd.com/pdfs/datasheet/AO3400A.pdf</t>
  </si>
  <si>
    <t>R1,R5,R31,R32,R33,R34,R35,R36,R37,R38,R39,R40,R41,R42</t>
  </si>
  <si>
    <t>100</t>
  </si>
  <si>
    <t>Resistor_SMD:R_0805_2012Metric_Pad1.20x1.40mm_HandSolder</t>
  </si>
  <si>
    <t>R2,R7,R10,R11</t>
  </si>
  <si>
    <t>10k</t>
  </si>
  <si>
    <t>R3,R4,R14,R17,R18</t>
  </si>
  <si>
    <t>0</t>
  </si>
  <si>
    <t>R12,R13</t>
  </si>
  <si>
    <t>330</t>
  </si>
  <si>
    <t>R15,R16,R19,R20</t>
  </si>
  <si>
    <t>3k</t>
  </si>
  <si>
    <t>R21,R22,R23,R24,R25,R26,R27,R28,R29,R30</t>
  </si>
  <si>
    <t>220</t>
  </si>
  <si>
    <t>SW1,SW2,SW3,SW4,SW5,SW6,SW7,SW8,SW9,SW10,SW11,SW12</t>
  </si>
  <si>
    <t>SW_Push</t>
  </si>
  <si>
    <t>Button_Switch_THT:SW_PUSH_6mm</t>
  </si>
  <si>
    <t>U1</t>
  </si>
  <si>
    <t>AMS1117-3.3</t>
  </si>
  <si>
    <t>Package_TO_SOT_SMD:SOT-223-3_TabPin2</t>
  </si>
  <si>
    <t>http://www.advanced-monolithic.com/pdf/ds1117.pdf</t>
  </si>
  <si>
    <t>U2</t>
  </si>
  <si>
    <t>SRV05-4</t>
  </si>
  <si>
    <t>Package_TO_SOT_SMD:SOT-23-6</t>
  </si>
  <si>
    <t>http://www.onsemi.com/pub/Collateral/SRV05-4-D.PDF</t>
  </si>
  <si>
    <t>U3</t>
  </si>
  <si>
    <t>Package_QFP:LQFP-100_14x14mm_P0.5mm</t>
  </si>
  <si>
    <t>U4</t>
  </si>
  <si>
    <t>Ai-Thinker-Ra-01</t>
  </si>
  <si>
    <t>RF_Module:Ai-Thinker-Ra-01-LoRa</t>
  </si>
  <si>
    <t>http://wiki.ai-thinker.com/_media/lora/docs/c047ps01a1_ra-01_product_specification_v1.1.pdf</t>
  </si>
  <si>
    <t>U5</t>
  </si>
  <si>
    <t>AT24C256</t>
  </si>
  <si>
    <t>Package_SO:SOIC-8_3.9x4.9mm_P1.27mm</t>
  </si>
  <si>
    <t>https://www.onsemi.cn/PowerSolutions/document/CAT24C256-D.PDF</t>
  </si>
  <si>
    <t>U6</t>
  </si>
  <si>
    <t>Ai-Thinker-Ra-01SH</t>
  </si>
  <si>
    <t>U7,U8</t>
  </si>
  <si>
    <t>ULN2003</t>
  </si>
  <si>
    <t>Package_SO:SO-16_3.9x9.9mm_P1.27mm</t>
  </si>
  <si>
    <t>http://www.ti.com/lit/ds/symlink/uln2003a.pdf</t>
  </si>
  <si>
    <t>VD1,VD2,VD3,VD4,VD5,VD6,VD7,VD8,VD9,VD10,VD11</t>
  </si>
  <si>
    <t>GSOT03C-E3-08</t>
  </si>
  <si>
    <t>https://www.chipdip.ru/product/gsot03c-e3-08-ustroystvo-zaschity-ot-esd-zaschitnyy-umw-9001633932?utm_source=direct&amp;utm_medium=cpc&amp;utm_campaign=Y_dinamicheskaya_max_conv&amp;utm_content=text1_ya&amp;utm_term=---autotargeting&amp;position_type=dynamic_places&amp;etext=&amp;yclid=11292835086090895359&amp;ybaip=1</t>
  </si>
  <si>
    <t>Y1</t>
  </si>
  <si>
    <t>X322525MQB4SI</t>
  </si>
  <si>
    <t>Oscillator:Oscillator_SMD_Abracon_ASE-4Pin_3.2x2.5mm</t>
  </si>
  <si>
    <t>https://cdn.promelec.ru/upload/items/2023/03/10/YSX321SL.pdf</t>
  </si>
  <si>
    <t>Y2</t>
  </si>
  <si>
    <t>SMD03215C2</t>
  </si>
  <si>
    <t>Crystal:Crystal_SMD_3215-2Pin_3.2x1.5mm</t>
  </si>
  <si>
    <t>https://www.chipdip.ru/product/kvartsevyy-rezonator-32.768-kgts-korpus-smd03215c2-8010532234</t>
  </si>
  <si>
    <t>do not install !!!</t>
  </si>
  <si>
    <t>CH32V303VCT6</t>
  </si>
  <si>
    <t>https://static.chipdip.ru/lib/164/DOC045164022.pdf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</si>
</sst>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Гиперссылка" xfId="1" builtinId="8"/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DE25DD-9EF9-471F-9603-9229DF9C78D9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A9C93-124F-44C6-B101-E0F98D1D54EE}" name="Magister_work_v1" displayName="Magister_work_v1" ref="A1:H38" tableType="queryTable" totalsRowShown="0">
  <autoFilter ref="A1:H38" xr:uid="{38CA9C93-124F-44C6-B101-E0F98D1D54EE}"/>
  <tableColumns count="8">
    <tableColumn id="1" xr3:uid="{6A30E5B9-B807-4A29-B31A-E3C4868B4209}" uniqueName="1" name="Reference" queryTableFieldId="1" dataDxfId="6"/>
    <tableColumn id="2" xr3:uid="{1BEAAFAD-1B2F-4081-BE0F-F5911D0439C6}" uniqueName="2" name="Qty" queryTableFieldId="2"/>
    <tableColumn id="3" xr3:uid="{99A6606F-8049-4DD7-B7C2-BDBAC3953258}" uniqueName="3" name="Value" queryTableFieldId="3" dataDxfId="5"/>
    <tableColumn id="4" xr3:uid="{F9A365AF-F376-40DB-9CDA-14F29C718158}" uniqueName="4" name="DNP" queryTableFieldId="4" dataDxfId="4"/>
    <tableColumn id="5" xr3:uid="{A7876900-7459-485F-A242-D8EE02E1840D}" uniqueName="5" name="Exclude from BOM" queryTableFieldId="5" dataDxfId="3"/>
    <tableColumn id="6" xr3:uid="{383359DF-4527-403F-8752-8128C9E4FDBD}" uniqueName="6" name="Exclude from Board" queryTableFieldId="6" dataDxfId="2"/>
    <tableColumn id="7" xr3:uid="{8782AE15-DD11-4894-B5F9-0858A604CA6D}" uniqueName="7" name="Footprint" queryTableFieldId="7" dataDxfId="1"/>
    <tableColumn id="8" xr3:uid="{F124C065-7EDC-4C32-9267-F483809F1915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tatic.chipdip.ru/lib/164/DOC045164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FDB-B273-46B0-9F91-7C4B138AF25D}">
  <dimension ref="A1:H38"/>
  <sheetViews>
    <sheetView tabSelected="1" workbookViewId="0">
      <selection activeCell="C36" sqref="C36"/>
    </sheetView>
  </sheetViews>
  <sheetFormatPr defaultRowHeight="15" x14ac:dyDescent="0.25"/>
  <cols>
    <col min="1" max="1" width="81.140625" bestFit="1" customWidth="1"/>
    <col min="2" max="2" width="6.42578125" bestFit="1" customWidth="1"/>
    <col min="3" max="3" width="18.42578125" bestFit="1" customWidth="1"/>
    <col min="4" max="4" width="7.140625" bestFit="1" customWidth="1"/>
    <col min="5" max="5" width="20" bestFit="1" customWidth="1"/>
    <col min="6" max="6" width="20.7109375" bestFit="1" customWidth="1"/>
    <col min="7" max="7" width="67.2851562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25">
      <c r="A3" s="1" t="s">
        <v>12</v>
      </c>
      <c r="B3">
        <v>40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10</v>
      </c>
    </row>
    <row r="4" spans="1:8" x14ac:dyDescent="0.25">
      <c r="A4" s="1" t="s">
        <v>15</v>
      </c>
      <c r="B4">
        <v>4</v>
      </c>
      <c r="C4" s="1" t="s">
        <v>16</v>
      </c>
      <c r="D4" s="1" t="s">
        <v>10</v>
      </c>
      <c r="E4" s="1" t="s">
        <v>10</v>
      </c>
      <c r="F4" s="1" t="s">
        <v>10</v>
      </c>
      <c r="G4" s="1" t="s">
        <v>14</v>
      </c>
      <c r="H4" s="1" t="s">
        <v>10</v>
      </c>
    </row>
    <row r="5" spans="1:8" x14ac:dyDescent="0.25">
      <c r="A5" s="1" t="s">
        <v>17</v>
      </c>
      <c r="B5">
        <v>2</v>
      </c>
      <c r="C5" s="1" t="s">
        <v>18</v>
      </c>
      <c r="D5" s="1" t="s">
        <v>10</v>
      </c>
      <c r="E5" s="1" t="s">
        <v>10</v>
      </c>
      <c r="F5" s="1" t="s">
        <v>10</v>
      </c>
      <c r="G5" s="1" t="s">
        <v>14</v>
      </c>
      <c r="H5" s="1" t="s">
        <v>10</v>
      </c>
    </row>
    <row r="6" spans="1:8" x14ac:dyDescent="0.25">
      <c r="A6" s="1" t="s">
        <v>19</v>
      </c>
      <c r="B6">
        <v>2</v>
      </c>
      <c r="C6" s="1" t="s">
        <v>20</v>
      </c>
      <c r="D6" s="1" t="s">
        <v>10</v>
      </c>
      <c r="E6" s="1" t="s">
        <v>10</v>
      </c>
      <c r="F6" s="1" t="s">
        <v>10</v>
      </c>
      <c r="G6" s="1" t="s">
        <v>21</v>
      </c>
      <c r="H6" s="1" t="s">
        <v>22</v>
      </c>
    </row>
    <row r="7" spans="1:8" x14ac:dyDescent="0.25">
      <c r="A7" s="1" t="s">
        <v>23</v>
      </c>
      <c r="B7">
        <v>4</v>
      </c>
      <c r="C7" s="1" t="s">
        <v>24</v>
      </c>
      <c r="D7" s="1" t="s">
        <v>10</v>
      </c>
      <c r="E7" s="1" t="s">
        <v>10</v>
      </c>
      <c r="F7" s="1" t="s">
        <v>10</v>
      </c>
      <c r="G7" s="1" t="s">
        <v>21</v>
      </c>
      <c r="H7" s="1" t="s">
        <v>25</v>
      </c>
    </row>
    <row r="8" spans="1:8" x14ac:dyDescent="0.25">
      <c r="A8" s="1" t="s">
        <v>26</v>
      </c>
      <c r="B8">
        <v>1</v>
      </c>
      <c r="C8" s="1" t="s">
        <v>27</v>
      </c>
      <c r="D8" s="1" t="s">
        <v>10</v>
      </c>
      <c r="E8" s="1" t="s">
        <v>10</v>
      </c>
      <c r="F8" s="1" t="s">
        <v>10</v>
      </c>
      <c r="G8" s="1" t="s">
        <v>28</v>
      </c>
      <c r="H8" s="1" t="s">
        <v>10</v>
      </c>
    </row>
    <row r="9" spans="1:8" x14ac:dyDescent="0.25">
      <c r="A9" s="1" t="s">
        <v>29</v>
      </c>
      <c r="B9">
        <v>2</v>
      </c>
      <c r="C9" s="1" t="s">
        <v>27</v>
      </c>
      <c r="D9" s="1" t="s">
        <v>10</v>
      </c>
      <c r="E9" s="1" t="s">
        <v>10</v>
      </c>
      <c r="F9" s="1" t="s">
        <v>10</v>
      </c>
      <c r="G9" s="1" t="s">
        <v>30</v>
      </c>
      <c r="H9" s="1" t="s">
        <v>10</v>
      </c>
    </row>
    <row r="10" spans="1:8" x14ac:dyDescent="0.25">
      <c r="A10" s="1" t="s">
        <v>31</v>
      </c>
      <c r="B10">
        <v>10</v>
      </c>
      <c r="C10" s="1" t="s">
        <v>27</v>
      </c>
      <c r="D10" s="1" t="s">
        <v>10</v>
      </c>
      <c r="E10" s="1" t="s">
        <v>10</v>
      </c>
      <c r="F10" s="1" t="s">
        <v>10</v>
      </c>
      <c r="G10" s="1" t="s">
        <v>32</v>
      </c>
      <c r="H10" s="1" t="s">
        <v>10</v>
      </c>
    </row>
    <row r="11" spans="1:8" x14ac:dyDescent="0.25">
      <c r="A11" s="1" t="s">
        <v>33</v>
      </c>
      <c r="B11">
        <v>1</v>
      </c>
      <c r="C11" s="1" t="s">
        <v>34</v>
      </c>
      <c r="D11" s="1" t="s">
        <v>10</v>
      </c>
      <c r="E11" s="1" t="s">
        <v>10</v>
      </c>
      <c r="F11" s="1" t="s">
        <v>10</v>
      </c>
      <c r="G11" s="1" t="s">
        <v>35</v>
      </c>
      <c r="H11" s="1" t="s">
        <v>36</v>
      </c>
    </row>
    <row r="12" spans="1:8" x14ac:dyDescent="0.25">
      <c r="A12" s="1" t="s">
        <v>37</v>
      </c>
      <c r="B12">
        <v>2</v>
      </c>
      <c r="C12" s="1" t="s">
        <v>38</v>
      </c>
      <c r="D12" s="1" t="s">
        <v>10</v>
      </c>
      <c r="E12" s="1" t="s">
        <v>10</v>
      </c>
      <c r="F12" s="1" t="s">
        <v>10</v>
      </c>
      <c r="G12" s="1" t="s">
        <v>39</v>
      </c>
      <c r="H12" s="1" t="s">
        <v>10</v>
      </c>
    </row>
    <row r="13" spans="1:8" x14ac:dyDescent="0.25">
      <c r="A13" s="1" t="s">
        <v>40</v>
      </c>
      <c r="B13">
        <v>1</v>
      </c>
      <c r="C13" s="1" t="s">
        <v>41</v>
      </c>
      <c r="D13" s="1" t="s">
        <v>10</v>
      </c>
      <c r="E13" s="1" t="s">
        <v>10</v>
      </c>
      <c r="F13" s="1" t="s">
        <v>10</v>
      </c>
      <c r="G13" s="1" t="s">
        <v>42</v>
      </c>
      <c r="H13" s="1" t="s">
        <v>10</v>
      </c>
    </row>
    <row r="14" spans="1:8" x14ac:dyDescent="0.25">
      <c r="A14" s="1" t="s">
        <v>43</v>
      </c>
      <c r="B14">
        <v>1</v>
      </c>
      <c r="C14" s="1" t="s">
        <v>44</v>
      </c>
      <c r="D14" s="1" t="s">
        <v>10</v>
      </c>
      <c r="E14" s="1" t="s">
        <v>10</v>
      </c>
      <c r="F14" s="1" t="s">
        <v>10</v>
      </c>
      <c r="G14" s="1" t="s">
        <v>45</v>
      </c>
      <c r="H14" s="1" t="s">
        <v>10</v>
      </c>
    </row>
    <row r="15" spans="1:8" x14ac:dyDescent="0.25">
      <c r="A15" s="1" t="s">
        <v>46</v>
      </c>
      <c r="B15">
        <v>1</v>
      </c>
      <c r="C15" s="1" t="s">
        <v>44</v>
      </c>
      <c r="D15" s="1" t="s">
        <v>10</v>
      </c>
      <c r="E15" s="1" t="s">
        <v>10</v>
      </c>
      <c r="F15" s="1" t="s">
        <v>10</v>
      </c>
      <c r="G15" s="1" t="s">
        <v>47</v>
      </c>
      <c r="H15" s="1" t="s">
        <v>114</v>
      </c>
    </row>
    <row r="16" spans="1:8" x14ac:dyDescent="0.25">
      <c r="A16" s="1" t="s">
        <v>48</v>
      </c>
      <c r="B16">
        <v>1</v>
      </c>
      <c r="C16" s="1" t="s">
        <v>49</v>
      </c>
      <c r="D16" s="1" t="s">
        <v>10</v>
      </c>
      <c r="E16" s="1" t="s">
        <v>10</v>
      </c>
      <c r="F16" s="1" t="s">
        <v>10</v>
      </c>
      <c r="G16" s="1" t="s">
        <v>50</v>
      </c>
      <c r="H16" s="1" t="s">
        <v>114</v>
      </c>
    </row>
    <row r="17" spans="1:8" x14ac:dyDescent="0.25">
      <c r="A17" s="1" t="s">
        <v>51</v>
      </c>
      <c r="B17">
        <v>2</v>
      </c>
      <c r="C17" s="1" t="s">
        <v>52</v>
      </c>
      <c r="D17" s="1" t="s">
        <v>10</v>
      </c>
      <c r="E17" s="1" t="s">
        <v>10</v>
      </c>
      <c r="F17" s="1" t="s">
        <v>10</v>
      </c>
      <c r="G17" s="1" t="s">
        <v>53</v>
      </c>
      <c r="H17" s="1" t="s">
        <v>10</v>
      </c>
    </row>
    <row r="18" spans="1:8" x14ac:dyDescent="0.25">
      <c r="A18" s="1" t="s">
        <v>54</v>
      </c>
      <c r="B18">
        <v>1</v>
      </c>
      <c r="C18" s="1" t="s">
        <v>55</v>
      </c>
      <c r="D18" s="1" t="s">
        <v>10</v>
      </c>
      <c r="E18" s="1" t="s">
        <v>10</v>
      </c>
      <c r="F18" s="1" t="s">
        <v>10</v>
      </c>
      <c r="G18" s="1" t="s">
        <v>56</v>
      </c>
      <c r="H18" s="1" t="s">
        <v>10</v>
      </c>
    </row>
    <row r="19" spans="1:8" x14ac:dyDescent="0.25">
      <c r="A19" s="1" t="s">
        <v>57</v>
      </c>
      <c r="B19">
        <v>1</v>
      </c>
      <c r="C19" s="1" t="s">
        <v>49</v>
      </c>
      <c r="D19" s="1" t="s">
        <v>10</v>
      </c>
      <c r="E19" s="1" t="s">
        <v>10</v>
      </c>
      <c r="F19" s="1" t="s">
        <v>10</v>
      </c>
      <c r="G19" s="1" t="s">
        <v>58</v>
      </c>
      <c r="H19" s="1" t="s">
        <v>10</v>
      </c>
    </row>
    <row r="20" spans="1:8" x14ac:dyDescent="0.25">
      <c r="A20" s="1" t="s">
        <v>59</v>
      </c>
      <c r="B20">
        <v>1</v>
      </c>
      <c r="C20" s="1" t="s">
        <v>60</v>
      </c>
      <c r="D20" s="1" t="s">
        <v>10</v>
      </c>
      <c r="E20" s="1" t="s">
        <v>10</v>
      </c>
      <c r="F20" s="1" t="s">
        <v>10</v>
      </c>
      <c r="G20" s="1" t="s">
        <v>61</v>
      </c>
      <c r="H20" s="1" t="s">
        <v>62</v>
      </c>
    </row>
    <row r="21" spans="1:8" x14ac:dyDescent="0.25">
      <c r="A21" s="1" t="s">
        <v>63</v>
      </c>
      <c r="B21">
        <v>14</v>
      </c>
      <c r="C21" s="1" t="s">
        <v>64</v>
      </c>
      <c r="D21" s="1" t="s">
        <v>10</v>
      </c>
      <c r="E21" s="1" t="s">
        <v>10</v>
      </c>
      <c r="F21" s="1" t="s">
        <v>10</v>
      </c>
      <c r="G21" s="1" t="s">
        <v>65</v>
      </c>
      <c r="H21" s="1" t="s">
        <v>10</v>
      </c>
    </row>
    <row r="22" spans="1:8" x14ac:dyDescent="0.25">
      <c r="A22" s="1" t="s">
        <v>66</v>
      </c>
      <c r="B22">
        <v>4</v>
      </c>
      <c r="C22" s="1" t="s">
        <v>67</v>
      </c>
      <c r="D22" s="1" t="s">
        <v>10</v>
      </c>
      <c r="E22" s="1" t="s">
        <v>10</v>
      </c>
      <c r="F22" s="1" t="s">
        <v>10</v>
      </c>
      <c r="G22" s="1" t="s">
        <v>65</v>
      </c>
      <c r="H22" s="1" t="s">
        <v>10</v>
      </c>
    </row>
    <row r="23" spans="1:8" x14ac:dyDescent="0.25">
      <c r="A23" s="1" t="s">
        <v>68</v>
      </c>
      <c r="B23">
        <v>5</v>
      </c>
      <c r="C23" s="1" t="s">
        <v>69</v>
      </c>
      <c r="D23" s="1" t="s">
        <v>10</v>
      </c>
      <c r="E23" s="1" t="s">
        <v>10</v>
      </c>
      <c r="F23" s="1" t="s">
        <v>10</v>
      </c>
      <c r="G23" s="1" t="s">
        <v>65</v>
      </c>
      <c r="H23" s="1" t="s">
        <v>10</v>
      </c>
    </row>
    <row r="24" spans="1:8" x14ac:dyDescent="0.25">
      <c r="A24" s="1" t="s">
        <v>70</v>
      </c>
      <c r="B24">
        <v>2</v>
      </c>
      <c r="C24" s="1" t="s">
        <v>71</v>
      </c>
      <c r="D24" s="1" t="s">
        <v>10</v>
      </c>
      <c r="E24" s="1" t="s">
        <v>10</v>
      </c>
      <c r="F24" s="1" t="s">
        <v>10</v>
      </c>
      <c r="G24" s="1" t="s">
        <v>65</v>
      </c>
      <c r="H24" s="1" t="s">
        <v>10</v>
      </c>
    </row>
    <row r="25" spans="1:8" x14ac:dyDescent="0.25">
      <c r="A25" s="1" t="s">
        <v>72</v>
      </c>
      <c r="B25">
        <v>4</v>
      </c>
      <c r="C25" s="1" t="s">
        <v>73</v>
      </c>
      <c r="D25" s="1" t="s">
        <v>10</v>
      </c>
      <c r="E25" s="1" t="s">
        <v>10</v>
      </c>
      <c r="F25" s="1" t="s">
        <v>10</v>
      </c>
      <c r="G25" s="1" t="s">
        <v>65</v>
      </c>
      <c r="H25" s="1" t="s">
        <v>10</v>
      </c>
    </row>
    <row r="26" spans="1:8" x14ac:dyDescent="0.25">
      <c r="A26" s="1" t="s">
        <v>74</v>
      </c>
      <c r="B26">
        <v>10</v>
      </c>
      <c r="C26" s="1" t="s">
        <v>75</v>
      </c>
      <c r="D26" s="1" t="s">
        <v>10</v>
      </c>
      <c r="E26" s="1" t="s">
        <v>10</v>
      </c>
      <c r="F26" s="1" t="s">
        <v>10</v>
      </c>
      <c r="G26" s="1" t="s">
        <v>65</v>
      </c>
      <c r="H26" s="1" t="s">
        <v>10</v>
      </c>
    </row>
    <row r="27" spans="1:8" x14ac:dyDescent="0.25">
      <c r="A27" s="1" t="s">
        <v>76</v>
      </c>
      <c r="B27">
        <v>12</v>
      </c>
      <c r="C27" s="1" t="s">
        <v>77</v>
      </c>
      <c r="D27" s="1" t="s">
        <v>10</v>
      </c>
      <c r="E27" s="1" t="s">
        <v>10</v>
      </c>
      <c r="F27" s="1" t="s">
        <v>10</v>
      </c>
      <c r="G27" s="1" t="s">
        <v>78</v>
      </c>
      <c r="H27" s="1" t="s">
        <v>10</v>
      </c>
    </row>
    <row r="28" spans="1:8" x14ac:dyDescent="0.25">
      <c r="A28" s="1" t="s">
        <v>79</v>
      </c>
      <c r="B28">
        <v>1</v>
      </c>
      <c r="C28" s="1" t="s">
        <v>80</v>
      </c>
      <c r="D28" s="1" t="s">
        <v>10</v>
      </c>
      <c r="E28" s="1" t="s">
        <v>10</v>
      </c>
      <c r="F28" s="1" t="s">
        <v>10</v>
      </c>
      <c r="G28" s="1" t="s">
        <v>81</v>
      </c>
      <c r="H28" s="1" t="s">
        <v>82</v>
      </c>
    </row>
    <row r="29" spans="1:8" x14ac:dyDescent="0.25">
      <c r="A29" s="1" t="s">
        <v>83</v>
      </c>
      <c r="B29">
        <v>1</v>
      </c>
      <c r="C29" s="1" t="s">
        <v>84</v>
      </c>
      <c r="D29" s="1" t="s">
        <v>10</v>
      </c>
      <c r="E29" s="1" t="s">
        <v>10</v>
      </c>
      <c r="F29" s="1" t="s">
        <v>10</v>
      </c>
      <c r="G29" s="1" t="s">
        <v>85</v>
      </c>
      <c r="H29" s="1" t="s">
        <v>86</v>
      </c>
    </row>
    <row r="30" spans="1:8" x14ac:dyDescent="0.25">
      <c r="A30" s="1" t="s">
        <v>87</v>
      </c>
      <c r="B30">
        <v>1</v>
      </c>
      <c r="C30" s="1" t="s">
        <v>115</v>
      </c>
      <c r="D30" s="1" t="s">
        <v>10</v>
      </c>
      <c r="E30" s="1" t="s">
        <v>10</v>
      </c>
      <c r="F30" s="1" t="s">
        <v>10</v>
      </c>
      <c r="G30" s="1" t="s">
        <v>88</v>
      </c>
      <c r="H30" s="2" t="s">
        <v>116</v>
      </c>
    </row>
    <row r="31" spans="1:8" x14ac:dyDescent="0.25">
      <c r="A31" s="1" t="s">
        <v>89</v>
      </c>
      <c r="B31">
        <v>1</v>
      </c>
      <c r="C31" s="1" t="s">
        <v>90</v>
      </c>
      <c r="D31" s="1" t="s">
        <v>10</v>
      </c>
      <c r="E31" s="1" t="s">
        <v>10</v>
      </c>
      <c r="F31" s="1" t="s">
        <v>10</v>
      </c>
      <c r="G31" s="1" t="s">
        <v>91</v>
      </c>
      <c r="H31" s="1" t="s">
        <v>92</v>
      </c>
    </row>
    <row r="32" spans="1:8" x14ac:dyDescent="0.25">
      <c r="A32" s="1" t="s">
        <v>93</v>
      </c>
      <c r="B32">
        <v>1</v>
      </c>
      <c r="C32" s="1" t="s">
        <v>94</v>
      </c>
      <c r="D32" s="1" t="s">
        <v>10</v>
      </c>
      <c r="E32" s="1" t="s">
        <v>10</v>
      </c>
      <c r="F32" s="1" t="s">
        <v>10</v>
      </c>
      <c r="G32" s="1" t="s">
        <v>95</v>
      </c>
      <c r="H32" s="1" t="s">
        <v>96</v>
      </c>
    </row>
    <row r="33" spans="1:8" x14ac:dyDescent="0.25">
      <c r="A33" s="1" t="s">
        <v>97</v>
      </c>
      <c r="B33">
        <v>1</v>
      </c>
      <c r="C33" s="1" t="s">
        <v>98</v>
      </c>
      <c r="D33" s="1" t="s">
        <v>10</v>
      </c>
      <c r="E33" s="1" t="s">
        <v>10</v>
      </c>
      <c r="F33" s="1" t="s">
        <v>10</v>
      </c>
      <c r="G33" s="1" t="s">
        <v>91</v>
      </c>
      <c r="H33" s="1" t="s">
        <v>92</v>
      </c>
    </row>
    <row r="34" spans="1:8" x14ac:dyDescent="0.25">
      <c r="A34" s="1" t="s">
        <v>99</v>
      </c>
      <c r="B34">
        <v>2</v>
      </c>
      <c r="C34" s="1" t="s">
        <v>100</v>
      </c>
      <c r="D34" s="1" t="s">
        <v>10</v>
      </c>
      <c r="E34" s="1" t="s">
        <v>10</v>
      </c>
      <c r="F34" s="1" t="s">
        <v>10</v>
      </c>
      <c r="G34" s="1" t="s">
        <v>101</v>
      </c>
      <c r="H34" s="1" t="s">
        <v>102</v>
      </c>
    </row>
    <row r="35" spans="1:8" x14ac:dyDescent="0.25">
      <c r="A35" s="1" t="s">
        <v>103</v>
      </c>
      <c r="B35">
        <v>11</v>
      </c>
      <c r="C35" s="1" t="s">
        <v>104</v>
      </c>
      <c r="D35" s="1" t="s">
        <v>10</v>
      </c>
      <c r="E35" s="1" t="s">
        <v>10</v>
      </c>
      <c r="F35" s="1" t="s">
        <v>10</v>
      </c>
      <c r="G35" s="1" t="s">
        <v>61</v>
      </c>
      <c r="H35" s="1" t="s">
        <v>105</v>
      </c>
    </row>
    <row r="36" spans="1:8" x14ac:dyDescent="0.25">
      <c r="A36" s="1" t="s">
        <v>106</v>
      </c>
      <c r="B36">
        <v>1</v>
      </c>
      <c r="C36" s="1" t="s">
        <v>107</v>
      </c>
      <c r="D36" s="1" t="s">
        <v>10</v>
      </c>
      <c r="E36" s="1" t="s">
        <v>10</v>
      </c>
      <c r="F36" s="1" t="s">
        <v>10</v>
      </c>
      <c r="G36" s="1" t="s">
        <v>108</v>
      </c>
      <c r="H36" s="1" t="s">
        <v>109</v>
      </c>
    </row>
    <row r="37" spans="1:8" x14ac:dyDescent="0.25">
      <c r="A37" s="1" t="s">
        <v>110</v>
      </c>
      <c r="B37">
        <v>1</v>
      </c>
      <c r="C37" s="1" t="s">
        <v>111</v>
      </c>
      <c r="D37" s="1" t="s">
        <v>10</v>
      </c>
      <c r="E37" s="1" t="s">
        <v>10</v>
      </c>
      <c r="F37" s="1" t="s">
        <v>10</v>
      </c>
      <c r="G37" s="1" t="s">
        <v>112</v>
      </c>
      <c r="H37" s="1" t="s">
        <v>113</v>
      </c>
    </row>
    <row r="38" spans="1:8" x14ac:dyDescent="0.25">
      <c r="A38" s="1"/>
      <c r="B38">
        <f>SUBTOTAL(109,B2:B37)</f>
        <v>150</v>
      </c>
      <c r="C38" s="1"/>
      <c r="D38" s="1"/>
      <c r="E38" s="1"/>
      <c r="F38" s="1"/>
      <c r="G38" s="1"/>
      <c r="H38" s="1"/>
    </row>
  </sheetData>
  <hyperlinks>
    <hyperlink ref="H30" r:id="rId1" xr:uid="{33AC6934-41CF-4EEA-80F0-AD6DB75DBE6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6737D-E7AF-4D14-9F8D-EFF28B845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Magister_work_v1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BeregnoyKI</dc:creator>
  <cp:lastModifiedBy>BeregnoyKI</cp:lastModifiedBy>
  <dcterms:created xsi:type="dcterms:W3CDTF">2015-06-05T18:19:34Z</dcterms:created>
  <dcterms:modified xsi:type="dcterms:W3CDTF">2026-10-15T12:39:27Z</dcterms:modified>
</cp:coreProperties>
</file>